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Management" sheetId="1" r:id="rId5"/>
    <sheet state="visible" name="Meeting &amp; HourLogs" sheetId="2" r:id="rId6"/>
  </sheets>
  <definedNames/>
  <calcPr/>
</workbook>
</file>

<file path=xl/sharedStrings.xml><?xml version="1.0" encoding="utf-8"?>
<sst xmlns="http://schemas.openxmlformats.org/spreadsheetml/2006/main" count="137" uniqueCount="98">
  <si>
    <t>Actual Hours Log</t>
  </si>
  <si>
    <r>
      <rPr>
        <rFont val="Google Sans"/>
        <b/>
        <color theme="1"/>
        <sz val="10.0"/>
      </rPr>
      <t>Fibonacci Estimation Methodology:</t>
    </r>
    <r>
      <rPr>
        <rFont val="Google Sans"/>
        <color theme="1"/>
        <sz val="10.0"/>
      </rPr>
      <t xml:space="preserve"> We used Fibonacci numbers (1, 2, 3) to assign complexity and expected implementation hours to features owned by 2-person pairs. Feature branches followed a strict peer-review and merge-to-main policy with traceable commit evidence.</t>
    </r>
  </si>
  <si>
    <t>Meeting Notes Log</t>
  </si>
  <si>
    <t>Template: Team Meeting Template</t>
  </si>
  <si>
    <t>Date</t>
  </si>
  <si>
    <t>Project Feature Backlog</t>
  </si>
  <si>
    <t>Project Metric</t>
  </si>
  <si>
    <t>QTY</t>
  </si>
  <si>
    <t>Pair</t>
  </si>
  <si>
    <t>Team Members</t>
  </si>
  <si>
    <t>Allocated Points</t>
  </si>
  <si>
    <t>Feature</t>
  </si>
  <si>
    <t>Contributor</t>
  </si>
  <si>
    <t>Fibonacci Value</t>
  </si>
  <si>
    <t>Category</t>
  </si>
  <si>
    <t>Assigned to</t>
  </si>
  <si>
    <t>Hours Logged</t>
  </si>
  <si>
    <t>Task Description</t>
  </si>
  <si>
    <t>Status</t>
  </si>
  <si>
    <t>Description</t>
  </si>
  <si>
    <t>Column 1</t>
  </si>
  <si>
    <t>Total Features</t>
  </si>
  <si>
    <t>Meeting Title</t>
  </si>
  <si>
    <t>Meeting Notes Link</t>
  </si>
  <si>
    <t>Attendees</t>
  </si>
  <si>
    <t>Duration (hrs)</t>
  </si>
  <si>
    <t>Audrey</t>
  </si>
  <si>
    <t>Feature Development</t>
  </si>
  <si>
    <t>Pair 1</t>
  </si>
  <si>
    <t>Alice &amp; Audrey</t>
  </si>
  <si>
    <t>Add the explosion visual, loss-state presentation, and panel shake; correct the explosion asset’s location and URL for the Vite public-assets convention.</t>
  </si>
  <si>
    <t>9/24</t>
  </si>
  <si>
    <t>Scrum Meeting</t>
  </si>
  <si>
    <r>
      <rPr>
        <color rgb="FF1155CC"/>
        <u/>
      </rPr>
      <t>Team16_Meeting_log - Google Docs</t>
    </r>
  </si>
  <si>
    <t>Guarenteed Safe First Square</t>
  </si>
  <si>
    <t>Pair 3</t>
  </si>
  <si>
    <t>Complete</t>
  </si>
  <si>
    <t>The first uncovered cell and its neighboring area are made mine-free. The opening reveal therefore starts a clear region rather than ending the game immediately.</t>
  </si>
  <si>
    <t>Total Fib Points</t>
  </si>
  <si>
    <t>whole team</t>
  </si>
  <si>
    <t>Pair 2</t>
  </si>
  <si>
    <t>Lilly &amp; Heidi</t>
  </si>
  <si>
    <t>Animated loss feedback</t>
  </si>
  <si>
    <t>When a mine is hit, the interface marks the detonated cell, shakes the game panel, and displays an explosion image. The same feedback path supports losses caused by the player or the AI.</t>
  </si>
  <si>
    <t>Completed Features</t>
  </si>
  <si>
    <t>Aayush &amp; Aiman</t>
  </si>
  <si>
    <t>loss sound effect</t>
  </si>
  <si>
    <t>Playing a mine triggers an explosion sound. The sound is restarted for each loss and reports playback failures to the console rather than silently swallowing them.</t>
  </si>
  <si>
    <t>Progress</t>
  </si>
  <si>
    <t>Pair 4</t>
  </si>
  <si>
    <t>Zain &amp; Ibaad</t>
  </si>
  <si>
    <t>Easy, Medium, and Hard AI move logic</t>
  </si>
  <si>
    <t>Easy reveals a random covered cell. Medium applies the covered-neighbor mine-count and all-mines-flagged deductions before falling back to a random covered cell. Hard adds validated horizontal and vertical 1-2-1 deductions, while retaining the Medium rules and random fallback. AI moves use the same game state and game rules as player moves.</t>
  </si>
  <si>
    <t>Selectable player and AI play modes</t>
  </si>
  <si>
    <t>Setup offers player-only play, alternating player/AI turns, and automatic AI solving. Players can choose a difficulty; automatic solving can be paused and resumed. Interactive mode schedules one AI response after a changed player action.</t>
  </si>
  <si>
    <t>Testing Suite</t>
  </si>
  <si>
    <t>Typescript unit tests to ensure AI functionality</t>
  </si>
  <si>
    <t>Heidi</t>
  </si>
  <si>
    <t>Implement random Easy moves, Medium flag/reveal deductions and fallback; refine and connect the interactive AI implementation.</t>
  </si>
  <si>
    <t>10/1</t>
  </si>
  <si>
    <r>
      <rPr>
        <color rgb="FF1155CC"/>
        <u/>
      </rPr>
      <t>Team16_Meeting_log - Google Docs</t>
    </r>
  </si>
  <si>
    <t>Lilly</t>
  </si>
  <si>
    <t>10/8</t>
  </si>
  <si>
    <r>
      <rPr>
        <color rgb="FF1155CC"/>
        <u/>
      </rPr>
      <t>Team16_Meeting_log - Google Docs</t>
    </r>
  </si>
  <si>
    <t>Detect the required 1-2-1 clue geometry, handle horizontal/vertical orientations, and apply the derived flag/reveal moves.</t>
  </si>
  <si>
    <t>Alice</t>
  </si>
  <si>
    <t>Add the sound asset and invoke it on loss.</t>
  </si>
  <si>
    <t>Total Meeting Duration</t>
  </si>
  <si>
    <t>AI solver testing</t>
  </si>
  <si>
    <t>Ibaad</t>
  </si>
  <si>
    <t>Add automatic solving and its supporting hook so the AI can continue taking turns without manual moves.</t>
  </si>
  <si>
    <t>Zain</t>
  </si>
  <si>
    <t>Refactoring</t>
  </si>
  <si>
    <t>Simplify and clean up the Medium AI implementation without changing its intended behavior.</t>
  </si>
  <si>
    <t>Documentation</t>
  </si>
  <si>
    <t>Add explanatory comments and update contributor names/attribution in source headers.</t>
  </si>
  <si>
    <t>Aiman</t>
  </si>
  <si>
    <t xml:space="preserve">Relocate mines from the opening neighborhood, preserve the total mine count, recalculate adjacent counts, clear conflicting flags safely, and keep the flag count accurate. </t>
  </si>
  <si>
    <t>Aayush</t>
  </si>
  <si>
    <t>Integrate player-only, interactive, and automatic modes into setup and the main interface; wire difficulty selection, turn scheduling, pause/resume, status display, and accessible control styling.</t>
  </si>
  <si>
    <t>Consolidate AI behavior behind the shared solver API, preserve compatibility exports, apply moves through the shared game rules, and return the detonated position for consistent loss feedback.</t>
  </si>
  <si>
    <t>Testing / QA</t>
  </si>
  <si>
    <t>Add and refine tests for Medium deductions and fallback, Hard pattern orientations, terminal/no-move states, random-source validation, and loss-position reporting.</t>
  </si>
  <si>
    <t>Documentation / Housekeeping</t>
  </si>
  <si>
    <t>Refresh the setup/play guide and updated architecture overview, and document the custom loss-feedback feature with a UML sequence diagram.</t>
  </si>
  <si>
    <t>Category Breakdown</t>
  </si>
  <si>
    <t>Hours</t>
  </si>
  <si>
    <t>Contributor Summary</t>
  </si>
  <si>
    <t>UI/UX Design</t>
  </si>
  <si>
    <t>Pair 1 (Alice &amp; Audrey)</t>
  </si>
  <si>
    <t>User vs AI Implementation</t>
  </si>
  <si>
    <t>Pair 2 (Lilly &amp; Heidi)</t>
  </si>
  <si>
    <t>Testing &amp; QA</t>
  </si>
  <si>
    <t>Pair 3 (Aayush &amp; Aiman)</t>
  </si>
  <si>
    <t>Auto Solve AI Implementation</t>
  </si>
  <si>
    <t>Pair 4 (Zain &amp; Ibaad)</t>
  </si>
  <si>
    <t>Project Management</t>
  </si>
  <si>
    <t>Total Project Hours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</si>
</sst>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0.0%"/>
  </numFmts>
  <fonts count="13">
    <font>
      <sz val="10.0"/>
      <color rgb="FF000000"/>
      <name val="Arial"/>
      <scheme val="minor"/>
    </font>
    <font>
      <b/>
      <sz val="13.0"/>
      <color rgb="FF1A1B1F"/>
      <name val="Google Sans"/>
    </font>
    <font>
      <color theme="1"/>
      <name val="Arial"/>
      <scheme val="minor"/>
    </font>
    <font>
      <sz val="10.0"/>
      <color theme="1"/>
      <name val="Google Sans"/>
    </font>
    <font>
      <b/>
      <sz val="10.0"/>
      <color rgb="FFFFFFFF"/>
      <name val="Google Sans"/>
    </font>
    <font>
      <b/>
      <sz val="10.0"/>
      <color theme="1"/>
      <name val="Google Sans"/>
    </font>
    <font>
      <sz val="10.0"/>
      <color rgb="FF1A1B1F"/>
      <name val="Google Sans"/>
    </font>
    <font>
      <b/>
      <color rgb="FFFFFFFF"/>
      <name val="Arial"/>
      <scheme val="minor"/>
    </font>
    <font>
      <b/>
      <sz val="10.0"/>
      <color rgb="FF1A1B1F"/>
      <name val="Google Sans"/>
    </font>
    <font>
      <sz val="10.0"/>
      <color rgb="FF1155CC"/>
      <name val="Google Sans"/>
    </font>
    <font>
      <sz val="10.0"/>
      <color theme="1"/>
      <name val="Arial"/>
      <scheme val="minor"/>
    </font>
    <font>
      <u/>
      <color rgb="FF0000FF"/>
      <name val="Roboto"/>
    </font>
    <font>
      <b/>
      <color theme="1"/>
      <name val="Arial"/>
      <scheme val="minor"/>
    </font>
  </fonts>
  <fills count="5">
    <fill>
      <patternFill patternType="none"/>
    </fill>
    <fill>
      <patternFill patternType="lightGray"/>
    </fill>
    <fill>
      <patternFill patternType="solid">
        <fgColor rgb="FF435E91"/>
        <bgColor rgb="FF435E91"/>
      </patternFill>
    </fill>
    <fill>
      <patternFill patternType="solid">
        <fgColor rgb="FF356854"/>
        <bgColor rgb="FF356854"/>
      </patternFill>
    </fill>
    <fill>
      <patternFill patternType="solid">
        <fgColor rgb="FFF6F8FB"/>
        <bgColor rgb="FFF6F8FB"/>
      </patternFill>
    </fill>
  </fills>
  <borders count="10">
    <border/>
    <border>
      <left style="thin">
        <color rgb="FFD0D4DD"/>
      </left>
      <right style="thin">
        <color rgb="FFE1E8EF"/>
      </right>
      <top style="thin">
        <color rgb="FFD0D4DD"/>
      </top>
      <bottom style="thin">
        <color rgb="FFE1E8EF"/>
      </bottom>
    </border>
    <border>
      <left style="thin">
        <color rgb="FFE1E8EF"/>
      </left>
      <right style="thin">
        <color rgb="FFD0D4DD"/>
      </right>
      <top style="thin">
        <color rgb="FFD0D4DD"/>
      </top>
      <bottom style="thin">
        <color rgb="FFE1E8EF"/>
      </bottom>
    </border>
    <border>
      <left style="thin">
        <color rgb="FFE1E8EF"/>
      </left>
      <right style="thin">
        <color rgb="FFE1E8EF"/>
      </right>
      <top style="thin">
        <color rgb="FFD0D4DD"/>
      </top>
      <bottom style="thin">
        <color rgb="FFE1E8EF"/>
      </bottom>
    </border>
    <border>
      <left style="thin">
        <color rgb="FFD0D4DD"/>
      </left>
      <right style="thin">
        <color rgb="FFE1E8EF"/>
      </right>
      <top style="thin">
        <color rgb="FFE1E8EF"/>
      </top>
      <bottom style="thin">
        <color rgb="FFE1E8EF"/>
      </bottom>
    </border>
    <border>
      <left style="thin">
        <color rgb="FFE1E8EF"/>
      </left>
      <right style="thin">
        <color rgb="FFD0D4DD"/>
      </right>
      <top style="thin">
        <color rgb="FFE1E8EF"/>
      </top>
      <bottom style="thin">
        <color rgb="FFE1E8EF"/>
      </bottom>
    </border>
    <border>
      <left style="thin">
        <color rgb="FFE1E8EF"/>
      </left>
      <right style="thin">
        <color rgb="FFE1E8EF"/>
      </right>
      <top style="thin">
        <color rgb="FFE1E8EF"/>
      </top>
      <bottom style="thin">
        <color rgb="FFE1E8EF"/>
      </bottom>
    </border>
    <border>
      <left style="thin">
        <color rgb="FFD0D4DD"/>
      </left>
      <right style="thin">
        <color rgb="FFE1E8EF"/>
      </right>
      <top style="thin">
        <color rgb="FFE1E8EF"/>
      </top>
      <bottom style="thin">
        <color rgb="FFD0D4DD"/>
      </bottom>
    </border>
    <border>
      <left style="thin">
        <color rgb="FFE1E8EF"/>
      </left>
      <right style="thin">
        <color rgb="FFD0D4DD"/>
      </right>
      <top style="thin">
        <color rgb="FFE1E8EF"/>
      </top>
      <bottom style="thin">
        <color rgb="FFD0D4DD"/>
      </bottom>
    </border>
    <border>
      <left style="thin">
        <color rgb="FFE1E8EF"/>
      </left>
      <right style="thin">
        <color rgb="FFE1E8EF"/>
      </right>
      <top style="thin">
        <color rgb="FFE1E8EF"/>
      </top>
      <bottom style="thin">
        <color rgb="FFD0D4DD"/>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3" numFmtId="0" xfId="0" applyAlignment="1" applyFont="1">
      <alignment readingOrder="0" shrinkToFit="0" vertical="top" wrapText="1"/>
    </xf>
    <xf borderId="0" fillId="0" fontId="2" numFmtId="0" xfId="0" applyAlignment="1" applyFont="1">
      <alignment readingOrder="0"/>
    </xf>
    <xf borderId="0" fillId="0" fontId="2" numFmtId="0" xfId="0" applyAlignment="1" applyFont="1">
      <alignment shrinkToFit="0" vertical="center" wrapText="1"/>
    </xf>
    <xf borderId="0" fillId="0" fontId="4" numFmtId="0" xfId="0" applyAlignment="1" applyFont="1">
      <alignment horizontal="left" readingOrder="0" vertical="center"/>
    </xf>
    <xf borderId="0" fillId="0" fontId="2" numFmtId="0" xfId="0" applyAlignment="1" applyFont="1">
      <alignment horizontal="center" readingOrder="0" shrinkToFit="0" vertical="center" wrapText="1"/>
    </xf>
    <xf borderId="0" fillId="0" fontId="4" numFmtId="0" xfId="0" applyAlignment="1" applyFont="1">
      <alignment horizontal="right" readingOrder="0" vertical="center"/>
    </xf>
    <xf borderId="0" fillId="0" fontId="4" numFmtId="0" xfId="0" applyAlignment="1" applyFont="1">
      <alignment horizontal="center" readingOrder="0" vertical="center"/>
    </xf>
    <xf borderId="1" fillId="2" fontId="4" numFmtId="0" xfId="0" applyAlignment="1" applyBorder="1" applyFill="1" applyFont="1">
      <alignment horizontal="left" readingOrder="0" vertical="center"/>
    </xf>
    <xf borderId="2" fillId="2" fontId="4" numFmtId="0" xfId="0" applyAlignment="1" applyBorder="1" applyFill="1" applyFont="1">
      <alignment horizontal="right" readingOrder="0" vertical="center"/>
    </xf>
    <xf borderId="1" fillId="2" fontId="4" numFmtId="0" xfId="0" applyAlignment="1" applyBorder="1" applyFill="1" applyFont="1">
      <alignment horizontal="center" readingOrder="0" vertical="center"/>
    </xf>
    <xf borderId="3" fillId="2" fontId="4" numFmtId="0" xfId="0" applyAlignment="1" applyBorder="1" applyFill="1" applyFont="1">
      <alignment horizontal="left" readingOrder="0" vertical="center"/>
    </xf>
    <xf borderId="0" fillId="0" fontId="5" numFmtId="0" xfId="0" applyAlignment="1" applyFont="1">
      <alignment horizontal="lef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readingOrder="0" vertical="center"/>
    </xf>
    <xf borderId="0" fillId="0" fontId="2" numFmtId="0" xfId="0" applyAlignment="1" applyFont="1">
      <alignment horizontal="left" readingOrder="0" shrinkToFit="0" vertical="center" wrapText="0"/>
    </xf>
    <xf borderId="4" fillId="0" fontId="6" numFmtId="0" xfId="0" applyAlignment="1" applyBorder="1" applyFont="1">
      <alignment horizontal="left" readingOrder="0" vertical="center"/>
    </xf>
    <xf borderId="0" fillId="3" fontId="7" numFmtId="0" xfId="0" applyAlignment="1" applyFill="1" applyFont="1">
      <alignment horizontal="right" readingOrder="0"/>
    </xf>
    <xf borderId="0" fillId="0" fontId="3" numFmtId="16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5" fillId="0" fontId="8" numFmtId="3" xfId="0" applyAlignment="1" applyBorder="1" applyFont="1" applyNumberFormat="1">
      <alignment horizontal="right" vertical="center"/>
    </xf>
    <xf borderId="0" fillId="0" fontId="3" numFmtId="0" xfId="0" applyAlignment="1" applyFont="1">
      <alignment horizontal="left" readingOrder="0" shrinkToFit="0" vertical="center" wrapText="0"/>
    </xf>
    <xf borderId="4" fillId="0" fontId="6" numFmtId="0" xfId="0" applyAlignment="1" applyBorder="1" applyFont="1">
      <alignment horizontal="center" readingOrder="0" vertical="center"/>
    </xf>
    <xf borderId="0" fillId="0" fontId="3" numFmtId="165" xfId="0" applyAlignment="1" applyFont="1" applyNumberFormat="1">
      <alignment horizontal="right" readingOrder="0" shrinkToFit="0" vertical="center" wrapText="0"/>
    </xf>
    <xf borderId="6" fillId="0" fontId="6" numFmtId="0" xfId="0" applyAlignment="1" applyBorder="1" applyFont="1">
      <alignment horizontal="left" readingOrder="0" vertical="center"/>
    </xf>
    <xf borderId="0" fillId="0" fontId="3" numFmtId="164" xfId="0" applyAlignment="1" applyFont="1" applyNumberFormat="1">
      <alignment horizontal="center" readingOrder="0" vertical="center"/>
    </xf>
    <xf borderId="0" fillId="0" fontId="3" numFmtId="49" xfId="0" applyAlignment="1" applyFont="1" applyNumberFormat="1">
      <alignment horizontal="center" readingOrder="0" shrinkToFit="0" vertical="center" wrapText="0"/>
    </xf>
    <xf borderId="0" fillId="0" fontId="9" numFmtId="49" xfId="0" applyAlignment="1" applyFont="1" applyNumberFormat="1">
      <alignment horizontal="left" readingOrder="0" shrinkToFit="0" vertical="center" wrapText="0"/>
    </xf>
    <xf borderId="4" fillId="4" fontId="6" numFmtId="0" xfId="0" applyAlignment="1" applyBorder="1" applyFill="1" applyFont="1">
      <alignment readingOrder="0" shrinkToFit="0" vertical="center" wrapText="1"/>
    </xf>
    <xf borderId="6" fillId="0" fontId="6" numFmtId="3" xfId="0" applyAlignment="1" applyBorder="1" applyFont="1" applyNumberFormat="1">
      <alignment readingOrder="0" shrinkToFit="0" vertical="center" wrapText="0"/>
    </xf>
    <xf borderId="6" fillId="0" fontId="6"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2" numFmtId="0" xfId="0" applyAlignment="1" applyFont="1">
      <alignment readingOrder="0" shrinkToFit="0" vertical="center" wrapText="0"/>
    </xf>
    <xf borderId="4" fillId="4" fontId="6" numFmtId="0" xfId="0" applyAlignment="1" applyBorder="1" applyFill="1" applyFont="1">
      <alignment horizontal="center" readingOrder="0" vertical="center"/>
    </xf>
    <xf borderId="0" fillId="0" fontId="2" numFmtId="165" xfId="0" applyAlignment="1" applyFont="1" applyNumberFormat="1">
      <alignment horizontal="right" readingOrder="0"/>
    </xf>
    <xf borderId="6" fillId="4" fontId="6" numFmtId="0" xfId="0" applyAlignment="1" applyBorder="1" applyFill="1" applyFont="1">
      <alignment horizontal="left" readingOrder="0" vertical="center"/>
    </xf>
    <xf borderId="5" fillId="4" fontId="8" numFmtId="3" xfId="0" applyAlignment="1" applyBorder="1" applyFill="1" applyFont="1" applyNumberFormat="1">
      <alignment horizontal="right" vertical="center"/>
    </xf>
    <xf borderId="6" fillId="4" fontId="6" numFmtId="3" xfId="0" applyAlignment="1" applyBorder="1" applyFill="1" applyFont="1" applyNumberFormat="1">
      <alignment readingOrder="0" shrinkToFit="0" vertical="center" wrapText="0"/>
    </xf>
    <xf borderId="6" fillId="4" fontId="6" numFmtId="0" xfId="0" applyAlignment="1" applyBorder="1" applyFill="1" applyFont="1">
      <alignment readingOrder="0" shrinkToFit="0" vertical="center" wrapText="0"/>
    </xf>
    <xf borderId="5" fillId="0" fontId="8" numFmtId="3" xfId="0" applyAlignment="1" applyBorder="1" applyFont="1" applyNumberFormat="1">
      <alignment horizontal="right" readingOrder="0" vertical="center"/>
    </xf>
    <xf borderId="4" fillId="0" fontId="6" numFmtId="0" xfId="0" applyAlignment="1" applyBorder="1" applyFont="1">
      <alignment readingOrder="0" shrinkToFit="0" vertical="center" wrapText="1"/>
    </xf>
    <xf borderId="7" fillId="0" fontId="6" numFmtId="0" xfId="0" applyAlignment="1" applyBorder="1" applyFont="1">
      <alignment horizontal="left" readingOrder="0" vertical="center"/>
    </xf>
    <xf borderId="8" fillId="0" fontId="8" numFmtId="166" xfId="0" applyAlignment="1" applyBorder="1" applyFont="1" applyNumberFormat="1">
      <alignment horizontal="right" vertical="center"/>
    </xf>
    <xf borderId="7" fillId="4" fontId="6" numFmtId="0" xfId="0" applyAlignment="1" applyBorder="1" applyFill="1" applyFont="1">
      <alignment horizontal="center" readingOrder="0" vertical="center"/>
    </xf>
    <xf borderId="9" fillId="4" fontId="6" numFmtId="0" xfId="0" applyAlignment="1" applyBorder="1" applyFill="1" applyFont="1">
      <alignment horizontal="left" readingOrder="0" vertical="center"/>
    </xf>
    <xf borderId="8" fillId="4" fontId="8" numFmtId="3" xfId="0" applyAlignment="1" applyBorder="1" applyFill="1" applyFont="1" applyNumberFormat="1">
      <alignment horizontal="right" readingOrder="0" vertical="center"/>
    </xf>
    <xf borderId="5" fillId="4" fontId="6" numFmtId="0" xfId="0" applyAlignment="1" applyBorder="1" applyFill="1" applyFont="1">
      <alignment readingOrder="0" shrinkToFit="0" vertical="center" wrapText="0"/>
    </xf>
    <xf borderId="4" fillId="0" fontId="6" numFmtId="49" xfId="0" applyAlignment="1" applyBorder="1" applyFont="1" applyNumberFormat="1">
      <alignment readingOrder="0" shrinkToFit="0" vertical="center" wrapText="1"/>
    </xf>
    <xf borderId="7" fillId="4" fontId="6" numFmtId="0" xfId="0" applyAlignment="1" applyBorder="1" applyFill="1" applyFont="1">
      <alignment readingOrder="0" shrinkToFit="0" vertical="center" wrapText="1"/>
    </xf>
    <xf borderId="9" fillId="4" fontId="6" numFmtId="3" xfId="0" applyAlignment="1" applyBorder="1" applyFill="1" applyFont="1" applyNumberFormat="1">
      <alignment readingOrder="0" shrinkToFit="0" vertical="center" wrapText="0"/>
    </xf>
    <xf borderId="9" fillId="4" fontId="6" numFmtId="0" xfId="0" applyAlignment="1" applyBorder="1" applyFill="1" applyFont="1">
      <alignment readingOrder="0" shrinkToFit="0" vertical="center" wrapText="0"/>
    </xf>
    <xf borderId="8" fillId="4" fontId="6" numFmtId="0" xfId="0" applyAlignment="1" applyBorder="1" applyFill="1" applyFont="1">
      <alignment readingOrder="0" shrinkToFit="0" vertical="center" wrapText="0"/>
    </xf>
    <xf borderId="0" fillId="4" fontId="6" numFmtId="49" xfId="0" applyAlignment="1" applyFill="1" applyFont="1" applyNumberFormat="1">
      <alignment readingOrder="0" shrinkToFit="0" vertical="center" wrapText="1"/>
    </xf>
    <xf borderId="0" fillId="4" fontId="6" numFmtId="3" xfId="0" applyAlignment="1" applyFill="1" applyFont="1" applyNumberFormat="1">
      <alignment readingOrder="0" shrinkToFit="0" vertical="center" wrapText="0"/>
    </xf>
    <xf borderId="0" fillId="4" fontId="6" numFmtId="0" xfId="0" applyAlignment="1" applyFill="1" applyFont="1">
      <alignment readingOrder="0" shrinkToFit="0" vertical="center" wrapText="0"/>
    </xf>
    <xf borderId="0" fillId="4" fontId="6" numFmtId="49" xfId="0" applyAlignment="1" applyFill="1" applyFont="1" applyNumberFormat="1">
      <alignment readingOrder="0" shrinkToFit="0" vertical="center" wrapText="1"/>
    </xf>
    <xf borderId="0" fillId="4" fontId="6" numFmtId="3" xfId="0" applyAlignment="1" applyFill="1" applyFont="1" applyNumberFormat="1">
      <alignment readingOrder="0" vertical="center"/>
    </xf>
    <xf borderId="0" fillId="4" fontId="6" numFmtId="0" xfId="0" applyAlignment="1" applyFill="1" applyFont="1">
      <alignment readingOrder="0" vertical="center"/>
    </xf>
    <xf borderId="0" fillId="0" fontId="3" numFmtId="49" xfId="0" applyAlignment="1" applyFont="1" applyNumberFormat="1">
      <alignment horizontal="left" readingOrder="0" shrinkToFit="0" vertical="center" wrapText="0"/>
    </xf>
    <xf borderId="0" fillId="0" fontId="3" numFmtId="0" xfId="0" applyAlignment="1" applyFont="1">
      <alignment horizontal="center" readingOrder="0" shrinkToFit="0" vertical="center" wrapText="0"/>
    </xf>
    <xf borderId="0" fillId="0" fontId="3" numFmtId="49" xfId="0" applyAlignment="1" applyFont="1" applyNumberFormat="1">
      <alignment horizontal="left" readingOrder="0" shrinkToFit="0" vertical="center" wrapText="0"/>
    </xf>
    <xf borderId="0" fillId="0" fontId="12" numFmtId="0" xfId="0" applyAlignment="1" applyFont="1">
      <alignment readingOrder="0"/>
    </xf>
    <xf borderId="0" fillId="0" fontId="12" numFmtId="165" xfId="0" applyAlignment="1" applyFont="1" applyNumberFormat="1">
      <alignment horizontal="right"/>
    </xf>
    <xf borderId="0" fillId="0" fontId="3" numFmtId="0" xfId="0" applyAlignment="1" applyFont="1">
      <alignment readingOrder="0" shrinkToFit="0" vertical="center" wrapText="0"/>
    </xf>
    <xf borderId="0" fillId="0" fontId="3" numFmtId="165"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3" fontId="7" numFmtId="0" xfId="0" applyAlignment="1" applyFill="1" applyFont="1">
      <alignment readingOrder="0"/>
    </xf>
    <xf borderId="0" fillId="0" fontId="2" numFmtId="165" xfId="0" applyAlignment="1" applyFont="1" applyNumberFormat="1">
      <alignment horizontal="right"/>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eeting &amp; HourLogs-style">
      <tableStyleElement dxfId="1" type="headerRow"/>
      <tableStyleElement dxfId="2" type="firstRowStripe"/>
      <tableStyleElement dxfId="3" type="secondRowStripe"/>
      <tableStyleElement dxfId="4" size="0" type="wholeTable"/>
    </tableStyle>
    <tableStyle count="4" pivot="0" name="Project Management-style">
      <tableStyleElement dxfId="1" type="headerRow"/>
      <tableStyleElement dxfId="2" type="firstRowStripe"/>
      <tableStyleElement dxfId="3" type="secondRowStripe"/>
      <tableStyleElement dxfId="4" size="0" type="wholeTable"/>
    </tableStyle>
    <tableStyle count="4" pivot="0" name="Meeting &amp; HourLog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14" displayName="FeatureBacklog" name="FeatureBacklog" id="1">
  <tableColumns count="5">
    <tableColumn name="Feature" id="1"/>
    <tableColumn name="Fibonacci Value" id="2"/>
    <tableColumn name="Assigned to" id="3"/>
    <tableColumn name="Status" id="4"/>
    <tableColumn name="Description" id="5"/>
  </tableColumns>
  <tableStyleInfo name="Project Management-style" showColumnStripes="0" showFirstColumn="1" showLastColumn="1" showRowStripes="1"/>
</table>
</file>

<file path=xl/tables/table2.xml><?xml version="1.0" encoding="utf-8"?>
<table xmlns="http://schemas.openxmlformats.org/spreadsheetml/2006/main" ref="A2:E22" displayName="HourLogs" name="HourLogs" id="2">
  <tableColumns count="5">
    <tableColumn name="Date" id="1"/>
    <tableColumn name="Contributor" id="2"/>
    <tableColumn name="Category" id="3"/>
    <tableColumn name="Hours Logged" id="4"/>
    <tableColumn name="Task Description" id="5"/>
  </tableColumns>
  <tableStyleInfo name="Meeting &amp; HourLogs-style" showColumnStripes="0" showFirstColumn="1" showLastColumn="1" showRowStripes="1"/>
</table>
</file>

<file path=xl/tables/table3.xml><?xml version="1.0" encoding="utf-8"?>
<table xmlns="http://schemas.openxmlformats.org/spreadsheetml/2006/main" ref="G2:J6" displayName="MeetingNotes" name="MeetingNotes" id="3">
  <tableColumns count="4">
    <tableColumn name="Date" id="1"/>
    <tableColumn name="Meeting Title" id="2"/>
    <tableColumn name="Meeting Notes Link" id="3"/>
    <tableColumn name="Attendees" id="4"/>
  </tableColumns>
  <tableStyleInfo name="Meeting &amp; HourLog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fOkppq5oWuRb4YsPT5QtBxJQhhe2kRM8Na6cTXZPwE/edit?tab=t.0" TargetMode="External"/><Relationship Id="rId2" Type="http://schemas.openxmlformats.org/officeDocument/2006/relationships/hyperlink" Target="https://docs.google.com/document/d/1pfOkppq5oWuRb4YsPT5QtBxJQhhe2kRM8Na6cTXZPwE/edit?tab=t.0" TargetMode="External"/><Relationship Id="rId3" Type="http://schemas.openxmlformats.org/officeDocument/2006/relationships/hyperlink" Target="https://docs.google.com/document/d/1pfOkppq5oWuRb4YsPT5QtBxJQhhe2kRM8Na6cTXZPwE/edit?tab=t.0" TargetMode="External"/><Relationship Id="rId4" Type="http://schemas.openxmlformats.org/officeDocument/2006/relationships/drawing" Target="../drawings/drawing2.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17.63"/>
    <col customWidth="1" min="3" max="3" width="12.63"/>
    <col customWidth="1" min="4" max="4" width="13.88"/>
    <col customWidth="1" min="5" max="5" width="47.63"/>
    <col customWidth="1" min="6" max="6" width="18.88"/>
    <col customWidth="1" min="7" max="7" width="8.88"/>
    <col customWidth="1" min="8" max="8" width="10.13"/>
    <col customWidth="1" min="9" max="9" width="17.63"/>
    <col customWidth="1" min="10" max="10" width="15.13"/>
  </cols>
  <sheetData>
    <row r="1" ht="33.75" customHeight="1">
      <c r="A1" s="2" t="s">
        <v>1</v>
      </c>
      <c r="E1" s="4"/>
      <c r="F1" s="5"/>
      <c r="G1" s="7"/>
      <c r="H1" s="8"/>
      <c r="I1" s="5"/>
      <c r="J1" s="7"/>
    </row>
    <row r="2" ht="33.75" customHeight="1">
      <c r="E2" s="4"/>
      <c r="F2" s="5"/>
      <c r="G2" s="7"/>
      <c r="H2" s="8"/>
      <c r="I2" s="5"/>
      <c r="J2" s="7"/>
    </row>
    <row r="3" ht="24.0" customHeight="1">
      <c r="A3" s="1" t="s">
        <v>5</v>
      </c>
      <c r="F3" s="9" t="s">
        <v>6</v>
      </c>
      <c r="G3" s="10" t="s">
        <v>7</v>
      </c>
      <c r="H3" s="11" t="s">
        <v>8</v>
      </c>
      <c r="I3" s="12" t="s">
        <v>9</v>
      </c>
      <c r="J3" s="10" t="s">
        <v>10</v>
      </c>
    </row>
    <row r="4" ht="24.0" customHeight="1">
      <c r="A4" s="13" t="s">
        <v>11</v>
      </c>
      <c r="B4" s="14" t="s">
        <v>13</v>
      </c>
      <c r="C4" s="15" t="s">
        <v>15</v>
      </c>
      <c r="D4" s="15" t="s">
        <v>18</v>
      </c>
      <c r="E4" s="17" t="s">
        <v>19</v>
      </c>
      <c r="F4" s="18" t="s">
        <v>21</v>
      </c>
      <c r="G4" s="22">
        <f>COUNTA(A5:A14)</f>
        <v>6</v>
      </c>
      <c r="H4" s="24" t="s">
        <v>28</v>
      </c>
      <c r="I4" s="26" t="s">
        <v>29</v>
      </c>
      <c r="J4" s="22">
        <f t="shared" ref="J4:J7" si="1">SUMIF(C$5:C$14, H4, B$5:B$14)</f>
        <v>7</v>
      </c>
    </row>
    <row r="5" ht="23.25" customHeight="1">
      <c r="A5" s="30" t="s">
        <v>34</v>
      </c>
      <c r="B5" s="31">
        <v>3.0</v>
      </c>
      <c r="C5" s="32" t="s">
        <v>35</v>
      </c>
      <c r="D5" s="33" t="s">
        <v>36</v>
      </c>
      <c r="E5" s="34" t="s">
        <v>37</v>
      </c>
      <c r="F5" s="18" t="s">
        <v>38</v>
      </c>
      <c r="G5" s="22">
        <f>SUM(B5:B14)</f>
        <v>34</v>
      </c>
      <c r="H5" s="37" t="s">
        <v>40</v>
      </c>
      <c r="I5" s="39" t="s">
        <v>41</v>
      </c>
      <c r="J5" s="40">
        <f t="shared" si="1"/>
        <v>13</v>
      </c>
    </row>
    <row r="6" ht="21.0" customHeight="1">
      <c r="A6" s="30" t="s">
        <v>42</v>
      </c>
      <c r="B6" s="41">
        <v>5.0</v>
      </c>
      <c r="C6" s="42" t="s">
        <v>28</v>
      </c>
      <c r="D6" s="33" t="s">
        <v>36</v>
      </c>
      <c r="E6" s="34" t="s">
        <v>43</v>
      </c>
      <c r="F6" s="18" t="s">
        <v>44</v>
      </c>
      <c r="G6" s="43">
        <f>COUNTIF(D5:D14, "Complete")</f>
        <v>6</v>
      </c>
      <c r="H6" s="24" t="s">
        <v>35</v>
      </c>
      <c r="I6" s="26" t="s">
        <v>45</v>
      </c>
      <c r="J6" s="22">
        <f t="shared" si="1"/>
        <v>6</v>
      </c>
    </row>
    <row r="7" ht="21.0" customHeight="1">
      <c r="A7" s="44" t="s">
        <v>46</v>
      </c>
      <c r="B7" s="31">
        <v>2.0</v>
      </c>
      <c r="C7" s="32" t="s">
        <v>28</v>
      </c>
      <c r="D7" s="33" t="s">
        <v>36</v>
      </c>
      <c r="E7" s="34" t="s">
        <v>47</v>
      </c>
      <c r="F7" s="45" t="s">
        <v>48</v>
      </c>
      <c r="G7" s="46">
        <f>IFERROR(G6 / G4, 0)</f>
        <v>1</v>
      </c>
      <c r="H7" s="47" t="s">
        <v>49</v>
      </c>
      <c r="I7" s="48" t="s">
        <v>50</v>
      </c>
      <c r="J7" s="49">
        <f t="shared" si="1"/>
        <v>8</v>
      </c>
    </row>
    <row r="8" ht="21.0" customHeight="1">
      <c r="A8" s="30" t="s">
        <v>51</v>
      </c>
      <c r="B8" s="41">
        <v>13.0</v>
      </c>
      <c r="C8" s="42" t="s">
        <v>40</v>
      </c>
      <c r="D8" s="50" t="s">
        <v>36</v>
      </c>
      <c r="E8" s="34" t="s">
        <v>52</v>
      </c>
    </row>
    <row r="9" ht="21.0" customHeight="1">
      <c r="A9" s="44" t="s">
        <v>53</v>
      </c>
      <c r="B9" s="31">
        <v>8.0</v>
      </c>
      <c r="C9" s="32" t="s">
        <v>49</v>
      </c>
      <c r="D9" s="33" t="s">
        <v>36</v>
      </c>
      <c r="E9" s="34" t="s">
        <v>54</v>
      </c>
    </row>
    <row r="10" ht="21.0" customHeight="1">
      <c r="A10" s="30" t="s">
        <v>55</v>
      </c>
      <c r="B10" s="41">
        <v>3.0</v>
      </c>
      <c r="C10" s="42" t="s">
        <v>35</v>
      </c>
      <c r="D10" s="33" t="s">
        <v>36</v>
      </c>
      <c r="E10" s="36" t="s">
        <v>56</v>
      </c>
    </row>
    <row r="11" ht="21.0" customHeight="1">
      <c r="A11" s="51"/>
      <c r="B11" s="31"/>
      <c r="C11" s="32"/>
      <c r="D11" s="33"/>
    </row>
    <row r="12" ht="21.0" customHeight="1">
      <c r="A12" s="44"/>
      <c r="B12" s="31"/>
      <c r="C12" s="32"/>
      <c r="D12" s="33"/>
    </row>
    <row r="13" ht="22.5" customHeight="1">
      <c r="A13" s="52"/>
      <c r="B13" s="53"/>
      <c r="C13" s="54"/>
      <c r="D13" s="55"/>
    </row>
    <row r="14" ht="22.5" customHeight="1">
      <c r="A14" s="56"/>
      <c r="B14" s="57"/>
      <c r="C14" s="58"/>
      <c r="D14" s="58"/>
    </row>
    <row r="15">
      <c r="A15" s="59"/>
      <c r="B15" s="60"/>
      <c r="C15" s="61"/>
      <c r="D15" s="61"/>
    </row>
  </sheetData>
  <mergeCells count="1">
    <mergeCell ref="A1:D2"/>
  </mergeCells>
  <dataValidations>
    <dataValidation type="custom" allowBlank="1" showDropDown="1" sqref="B5:B14">
      <formula1>AND(ISNUMBER(B5),(NOT(OR(NOT(ISERROR(DATEVALUE(B5))), AND(ISNUMBER(B5), LEFT(CELL("format", B5))="D")))))</formula1>
    </dataValidation>
    <dataValidation type="list" allowBlank="1" showErrorMessage="1" sqref="C5:C14">
      <formula1>"Pair 1,Pair 2,Pair 3,Pair 4"</formula1>
    </dataValidation>
    <dataValidation type="list" allowBlank="1" showErrorMessage="1" sqref="D5:D14">
      <formula1>"Pending,In Progress,Complete"</formula1>
    </dataValidation>
    <dataValidation allowBlank="1" showDropDown="1" sqref="A5:A14"/>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14.5"/>
    <col customWidth="1" min="3" max="3" width="22.0"/>
    <col customWidth="1" min="4" max="4" width="14.5"/>
    <col customWidth="1" min="5" max="5" width="47.63"/>
    <col customWidth="1" min="6" max="6" width="4.5"/>
    <col customWidth="1" min="7" max="7" width="12.0"/>
    <col customWidth="1" min="8" max="8" width="42.63"/>
    <col customWidth="1" min="9" max="10" width="30.13"/>
    <col customWidth="1" min="11" max="11" width="13.88"/>
  </cols>
  <sheetData>
    <row r="1" ht="60.75" customHeight="1">
      <c r="A1" s="1" t="s">
        <v>0</v>
      </c>
      <c r="B1" s="3"/>
      <c r="C1" s="3"/>
      <c r="D1" s="3"/>
      <c r="F1" s="1"/>
      <c r="G1" s="3" t="s">
        <v>2</v>
      </c>
      <c r="H1" s="6"/>
      <c r="I1" s="3" t="s">
        <v>3</v>
      </c>
    </row>
    <row r="2" ht="24.0" customHeight="1">
      <c r="A2" s="13" t="s">
        <v>4</v>
      </c>
      <c r="B2" s="13" t="s">
        <v>12</v>
      </c>
      <c r="C2" s="13" t="s">
        <v>14</v>
      </c>
      <c r="D2" s="13" t="s">
        <v>16</v>
      </c>
      <c r="E2" s="13" t="s">
        <v>17</v>
      </c>
      <c r="F2" s="16" t="s">
        <v>20</v>
      </c>
      <c r="G2" s="13" t="s">
        <v>4</v>
      </c>
      <c r="H2" s="13" t="s">
        <v>22</v>
      </c>
      <c r="I2" s="13" t="s">
        <v>23</v>
      </c>
      <c r="J2" s="17" t="s">
        <v>24</v>
      </c>
      <c r="K2" s="19" t="s">
        <v>25</v>
      </c>
    </row>
    <row r="3" ht="21.0" customHeight="1">
      <c r="A3" s="20">
        <v>46295.0</v>
      </c>
      <c r="B3" s="21" t="s">
        <v>26</v>
      </c>
      <c r="C3" s="23" t="s">
        <v>27</v>
      </c>
      <c r="D3" s="25">
        <v>3.5</v>
      </c>
      <c r="E3" s="23" t="s">
        <v>30</v>
      </c>
      <c r="F3" s="27"/>
      <c r="G3" s="28" t="s">
        <v>31</v>
      </c>
      <c r="H3" s="29" t="s">
        <v>32</v>
      </c>
      <c r="I3" s="35" t="s">
        <v>33</v>
      </c>
      <c r="J3" s="36" t="s">
        <v>39</v>
      </c>
      <c r="K3" s="38">
        <v>0.5</v>
      </c>
    </row>
    <row r="4" ht="21.0" customHeight="1">
      <c r="A4" s="20">
        <v>46295.0</v>
      </c>
      <c r="B4" s="21" t="s">
        <v>57</v>
      </c>
      <c r="C4" s="23" t="s">
        <v>27</v>
      </c>
      <c r="D4" s="25">
        <v>2.5</v>
      </c>
      <c r="E4" s="62" t="s">
        <v>58</v>
      </c>
      <c r="F4" s="27"/>
      <c r="G4" s="63" t="s">
        <v>59</v>
      </c>
      <c r="H4" s="29" t="s">
        <v>32</v>
      </c>
      <c r="I4" s="35" t="s">
        <v>60</v>
      </c>
      <c r="J4" s="36" t="s">
        <v>39</v>
      </c>
      <c r="K4" s="38">
        <v>0.5</v>
      </c>
    </row>
    <row r="5" ht="21.0" customHeight="1">
      <c r="A5" s="20">
        <v>46299.0</v>
      </c>
      <c r="B5" s="21" t="s">
        <v>61</v>
      </c>
      <c r="C5" s="23" t="s">
        <v>27</v>
      </c>
      <c r="D5" s="25">
        <v>2.5</v>
      </c>
      <c r="E5" s="62" t="s">
        <v>58</v>
      </c>
      <c r="F5" s="27"/>
      <c r="G5" s="63" t="s">
        <v>62</v>
      </c>
      <c r="H5" s="29" t="s">
        <v>32</v>
      </c>
      <c r="I5" s="35" t="s">
        <v>63</v>
      </c>
      <c r="J5" s="36" t="s">
        <v>39</v>
      </c>
      <c r="K5" s="38">
        <v>0.5</v>
      </c>
    </row>
    <row r="6" ht="21.0" customHeight="1">
      <c r="A6" s="20">
        <v>46301.0</v>
      </c>
      <c r="B6" s="21" t="s">
        <v>61</v>
      </c>
      <c r="C6" s="23" t="s">
        <v>27</v>
      </c>
      <c r="D6" s="25">
        <v>3.0</v>
      </c>
      <c r="E6" s="62" t="s">
        <v>64</v>
      </c>
      <c r="F6" s="27"/>
      <c r="G6" s="23"/>
      <c r="H6" s="64"/>
      <c r="I6" s="23"/>
      <c r="K6" s="38"/>
    </row>
    <row r="7" ht="22.5" customHeight="1">
      <c r="A7" s="20">
        <v>46303.0</v>
      </c>
      <c r="B7" s="21" t="s">
        <v>65</v>
      </c>
      <c r="C7" s="23" t="s">
        <v>27</v>
      </c>
      <c r="D7" s="25">
        <v>3.0</v>
      </c>
      <c r="E7" s="23" t="s">
        <v>66</v>
      </c>
      <c r="J7" s="65" t="s">
        <v>67</v>
      </c>
      <c r="K7" s="66">
        <f>SUM(K3:K6)</f>
        <v>1.5</v>
      </c>
    </row>
    <row r="8" ht="22.5" customHeight="1">
      <c r="A8" s="20">
        <v>46303.0</v>
      </c>
      <c r="B8" s="67" t="s">
        <v>61</v>
      </c>
      <c r="C8" s="23" t="s">
        <v>27</v>
      </c>
      <c r="D8" s="68">
        <v>3.0</v>
      </c>
      <c r="E8" s="62" t="s">
        <v>64</v>
      </c>
    </row>
    <row r="9" ht="22.5" customHeight="1">
      <c r="A9" s="20">
        <v>46303.0</v>
      </c>
      <c r="B9" s="67" t="s">
        <v>61</v>
      </c>
      <c r="C9" s="23" t="s">
        <v>27</v>
      </c>
      <c r="D9" s="68">
        <v>1.0</v>
      </c>
      <c r="E9" s="69" t="s">
        <v>68</v>
      </c>
    </row>
    <row r="10" ht="22.5" customHeight="1">
      <c r="A10" s="70">
        <v>46304.0</v>
      </c>
      <c r="B10" s="67" t="s">
        <v>69</v>
      </c>
      <c r="C10" s="23" t="s">
        <v>27</v>
      </c>
      <c r="D10" s="68">
        <v>3.0</v>
      </c>
      <c r="E10" s="69" t="s">
        <v>70</v>
      </c>
    </row>
    <row r="11" ht="1.5" customHeight="1">
      <c r="A11" s="70"/>
      <c r="B11" s="67"/>
      <c r="C11" s="69"/>
      <c r="D11" s="68"/>
      <c r="E11" s="69"/>
    </row>
    <row r="12" ht="22.5" customHeight="1">
      <c r="A12" s="70">
        <v>46304.0</v>
      </c>
      <c r="B12" s="67" t="s">
        <v>71</v>
      </c>
      <c r="C12" s="23" t="s">
        <v>27</v>
      </c>
      <c r="D12" s="68">
        <v>3.5</v>
      </c>
      <c r="E12" s="69" t="s">
        <v>70</v>
      </c>
    </row>
    <row r="13" ht="22.5" customHeight="1">
      <c r="A13" s="70">
        <v>46304.0</v>
      </c>
      <c r="B13" s="67" t="s">
        <v>57</v>
      </c>
      <c r="C13" s="69" t="s">
        <v>72</v>
      </c>
      <c r="D13" s="68">
        <v>1.0</v>
      </c>
      <c r="E13" s="69" t="s">
        <v>73</v>
      </c>
    </row>
    <row r="14" ht="22.5" customHeight="1">
      <c r="A14" s="70">
        <v>46305.0</v>
      </c>
      <c r="B14" s="71" t="s">
        <v>57</v>
      </c>
      <c r="C14" s="72" t="s">
        <v>74</v>
      </c>
      <c r="D14" s="68">
        <v>1.0</v>
      </c>
      <c r="E14" s="72" t="s">
        <v>75</v>
      </c>
    </row>
    <row r="15" ht="22.5" customHeight="1">
      <c r="A15" s="73">
        <v>46305.0</v>
      </c>
      <c r="B15" s="71" t="s">
        <v>76</v>
      </c>
      <c r="C15" s="72" t="s">
        <v>27</v>
      </c>
      <c r="D15" s="74">
        <v>2.5</v>
      </c>
      <c r="E15" s="72" t="s">
        <v>77</v>
      </c>
    </row>
    <row r="16" ht="22.5" customHeight="1">
      <c r="A16" s="73">
        <v>46305.0</v>
      </c>
      <c r="B16" s="71" t="s">
        <v>78</v>
      </c>
      <c r="C16" s="72" t="s">
        <v>27</v>
      </c>
      <c r="D16" s="74">
        <v>3.0</v>
      </c>
      <c r="E16" s="72" t="s">
        <v>79</v>
      </c>
    </row>
    <row r="17" ht="22.5" customHeight="1">
      <c r="A17" s="73">
        <v>46305.0</v>
      </c>
      <c r="B17" s="71" t="s">
        <v>76</v>
      </c>
      <c r="C17" s="72" t="s">
        <v>72</v>
      </c>
      <c r="D17" s="74">
        <v>2.0</v>
      </c>
      <c r="E17" s="72" t="s">
        <v>80</v>
      </c>
    </row>
    <row r="18" ht="22.5" customHeight="1">
      <c r="A18" s="73">
        <v>46305.0</v>
      </c>
      <c r="B18" s="71" t="s">
        <v>78</v>
      </c>
      <c r="C18" s="72" t="s">
        <v>81</v>
      </c>
      <c r="D18" s="74">
        <v>3.0</v>
      </c>
      <c r="E18" s="72" t="s">
        <v>82</v>
      </c>
    </row>
    <row r="19" ht="22.5" customHeight="1">
      <c r="A19" s="73">
        <v>46305.0</v>
      </c>
      <c r="B19" s="71" t="s">
        <v>76</v>
      </c>
      <c r="C19" s="72" t="s">
        <v>83</v>
      </c>
      <c r="D19" s="74">
        <v>2.0</v>
      </c>
      <c r="E19" s="72" t="s">
        <v>84</v>
      </c>
    </row>
    <row r="20" ht="22.5" customHeight="1">
      <c r="A20" s="73"/>
      <c r="B20" s="75"/>
      <c r="C20" s="76"/>
      <c r="D20" s="74"/>
      <c r="E20" s="76"/>
    </row>
    <row r="21" ht="22.5" customHeight="1">
      <c r="A21" s="73"/>
      <c r="B21" s="75"/>
      <c r="C21" s="76"/>
      <c r="D21" s="74"/>
      <c r="E21" s="76"/>
    </row>
    <row r="22" ht="22.5" customHeight="1">
      <c r="A22" s="73"/>
      <c r="B22" s="75"/>
      <c r="C22" s="76"/>
      <c r="D22" s="74"/>
      <c r="E22" s="76"/>
    </row>
    <row r="23">
      <c r="A23" s="77" t="s">
        <v>85</v>
      </c>
      <c r="B23" s="77" t="s">
        <v>86</v>
      </c>
      <c r="C23" s="77" t="s">
        <v>87</v>
      </c>
      <c r="D23" s="77" t="s">
        <v>86</v>
      </c>
    </row>
    <row r="24">
      <c r="A24" s="3" t="s">
        <v>88</v>
      </c>
      <c r="B24" s="78">
        <f t="shared" ref="B24:B28" si="1">SUMIF(C$3:C$22, A24, D$3:D$22)</f>
        <v>0</v>
      </c>
      <c r="C24" s="3" t="s">
        <v>89</v>
      </c>
      <c r="D24" s="78">
        <f>SUMIF(B$3:B$22, "Alice", D$3:D$22) + SUMIF(B$3:B$22, "Audrey", D$3:D$22)</f>
        <v>6.5</v>
      </c>
    </row>
    <row r="25">
      <c r="A25" s="3" t="s">
        <v>90</v>
      </c>
      <c r="B25" s="78">
        <f t="shared" si="1"/>
        <v>0</v>
      </c>
      <c r="C25" s="3" t="s">
        <v>91</v>
      </c>
      <c r="D25" s="78">
        <f>SUMIF(B$3:B$22, "Lilly", D$3:D$22) + SUMIF(B$3:B$22, "Heidi", D$3:D$22)</f>
        <v>14</v>
      </c>
    </row>
    <row r="26">
      <c r="A26" s="3" t="s">
        <v>92</v>
      </c>
      <c r="B26" s="78">
        <f t="shared" si="1"/>
        <v>0</v>
      </c>
      <c r="C26" s="3" t="s">
        <v>93</v>
      </c>
      <c r="D26" s="78">
        <f>SUMIF(B$3:B$22, "Aayush", D$3:D$22) + SUMIF(B$3:B$22, "Aiman", D$3:D$22)</f>
        <v>12.5</v>
      </c>
    </row>
    <row r="27">
      <c r="A27" s="3" t="s">
        <v>94</v>
      </c>
      <c r="B27" s="78">
        <f t="shared" si="1"/>
        <v>0</v>
      </c>
      <c r="C27" s="3" t="s">
        <v>95</v>
      </c>
      <c r="D27" s="78">
        <f>SUMIF(B$3:B$22, "Zain", D$3:D$22) + SUMIF(B$3:B$22, "Ibaad", D$3:D$22)</f>
        <v>6.5</v>
      </c>
    </row>
    <row r="28">
      <c r="A28" s="3" t="s">
        <v>96</v>
      </c>
      <c r="B28" s="78">
        <f t="shared" si="1"/>
        <v>0</v>
      </c>
      <c r="C28" s="65" t="s">
        <v>97</v>
      </c>
      <c r="D28" s="66">
        <f>SUM(D3:D22)</f>
        <v>39.5</v>
      </c>
    </row>
  </sheetData>
  <dataValidations>
    <dataValidation type="custom" allowBlank="1" showDropDown="1" sqref="A3:A22">
      <formula1>OR(NOT(ISERROR(DATEVALUE(A3))), AND(ISNUMBER(A3), LEFT(CELL("format", A3))="D"))</formula1>
    </dataValidation>
    <dataValidation type="custom" allowBlank="1" showDropDown="1" sqref="D3:D22">
      <formula1>AND(ISNUMBER(D3),(NOT(OR(NOT(ISERROR(DATEVALUE(D3))), AND(ISNUMBER(D3), LEFT(CELL("format", D3))="D")))))</formula1>
    </dataValidation>
    <dataValidation allowBlank="1" showDropDown="1" sqref="G3:I6 C3:C22 E3:E22"/>
    <dataValidation type="list" allowBlank="1" showErrorMessage="1" sqref="B3:B22">
      <formula1>"Alice,Lilly,Audrey,Heidi,Aayush,Aiman,Zain,Ibaad"</formula1>
    </dataValidation>
  </dataValidations>
  <hyperlinks>
    <hyperlink r:id="rId1" ref="I3"/>
    <hyperlink r:id="rId2" ref="I4"/>
    <hyperlink r:id="rId3" ref="I5"/>
  </hyperlinks>
  <drawing r:id="rId4"/>
  <tableParts count="2">
    <tablePart r:id="rId7"/>
    <tablePart r:id="rId8"/>
  </tableParts>
</worksheet>
</file>